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uktheswaran\Documents\"/>
    </mc:Choice>
  </mc:AlternateContent>
  <xr:revisionPtr revIDLastSave="0" documentId="8_{3753919E-7CC7-4AD2-AE27-876DC3C20071}" xr6:coauthVersionLast="47" xr6:coauthVersionMax="47" xr10:uidLastSave="{00000000-0000-0000-0000-000000000000}"/>
  <bookViews>
    <workbookView xWindow="-108" yWindow="-108" windowWidth="23256" windowHeight="12456" xr2:uid="{BB469689-2CC5-4F1E-B77E-E82EE1636127}"/>
  </bookViews>
  <sheets>
    <sheet name="15030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2" l="1"/>
  <c r="O37" i="2" s="1"/>
  <c r="O4" i="2"/>
  <c r="H6" i="2"/>
  <c r="O6" i="2"/>
  <c r="H7" i="2"/>
  <c r="O7" i="2" s="1"/>
  <c r="H8" i="2"/>
  <c r="O8" i="2"/>
  <c r="H9" i="2"/>
  <c r="O9" i="2" s="1"/>
  <c r="H10" i="2"/>
  <c r="O10" i="2"/>
  <c r="H11" i="2"/>
  <c r="O11" i="2" s="1"/>
  <c r="H13" i="2"/>
  <c r="O13" i="2"/>
  <c r="H14" i="2"/>
  <c r="O14" i="2" s="1"/>
  <c r="H15" i="2"/>
  <c r="O15" i="2"/>
  <c r="H16" i="2"/>
  <c r="O16" i="2" s="1"/>
  <c r="H18" i="2"/>
  <c r="O18" i="2"/>
  <c r="H19" i="2"/>
  <c r="O19" i="2" s="1"/>
  <c r="H20" i="2"/>
  <c r="O20" i="2"/>
  <c r="H21" i="2"/>
  <c r="O21" i="2" s="1"/>
  <c r="H22" i="2"/>
  <c r="O22" i="2"/>
  <c r="H23" i="2"/>
  <c r="O23" i="2" s="1"/>
  <c r="H24" i="2"/>
  <c r="O24" i="2"/>
  <c r="H26" i="2"/>
  <c r="O26" i="2" s="1"/>
  <c r="H27" i="2"/>
  <c r="O27" i="2"/>
  <c r="H28" i="2"/>
  <c r="O28" i="2" s="1"/>
  <c r="H29" i="2"/>
  <c r="O29" i="2"/>
  <c r="H30" i="2"/>
  <c r="O30" i="2" s="1"/>
  <c r="H31" i="2"/>
  <c r="O31" i="2"/>
  <c r="H32" i="2"/>
  <c r="O32" i="2" s="1"/>
  <c r="H34" i="2"/>
  <c r="O34" i="2"/>
  <c r="H35" i="2"/>
  <c r="O35" i="2" s="1"/>
  <c r="H36" i="2"/>
  <c r="O36" i="2"/>
  <c r="I37" i="2"/>
  <c r="J37" i="2"/>
  <c r="K37" i="2"/>
  <c r="L37" i="2"/>
  <c r="M37" i="2"/>
  <c r="N37" i="2"/>
</calcChain>
</file>

<file path=xl/sharedStrings.xml><?xml version="1.0" encoding="utf-8"?>
<sst xmlns="http://schemas.openxmlformats.org/spreadsheetml/2006/main" count="110" uniqueCount="31">
  <si>
    <t>TOTAL</t>
  </si>
  <si>
    <t>A</t>
  </si>
  <si>
    <t>STRINGER</t>
  </si>
  <si>
    <t>S2</t>
  </si>
  <si>
    <t>W/O</t>
  </si>
  <si>
    <t>S3</t>
  </si>
  <si>
    <t>Aside stopped due to IR lamp issue</t>
  </si>
  <si>
    <t>S1</t>
  </si>
  <si>
    <t xml:space="preserve">Display not working </t>
  </si>
  <si>
    <t>System hanging issue</t>
  </si>
  <si>
    <t>Total</t>
  </si>
  <si>
    <t>Disclipline</t>
  </si>
  <si>
    <t>Safety &amp; 
PPE Usage</t>
  </si>
  <si>
    <t>5S</t>
  </si>
  <si>
    <t>Rejections</t>
  </si>
  <si>
    <t>Punchuality</t>
  </si>
  <si>
    <t>Attendence</t>
  </si>
  <si>
    <t>Prodn 
Performance</t>
  </si>
  <si>
    <t>Date</t>
  </si>
  <si>
    <t>Sl No</t>
  </si>
  <si>
    <t>HASAN SK</t>
  </si>
  <si>
    <t>Matrix</t>
  </si>
  <si>
    <t>Actual</t>
  </si>
  <si>
    <t>Target</t>
  </si>
  <si>
    <t>Line</t>
  </si>
  <si>
    <t>Stage</t>
  </si>
  <si>
    <t>Shift</t>
  </si>
  <si>
    <t>Name</t>
  </si>
  <si>
    <t>ID No</t>
  </si>
  <si>
    <t>REMARKS</t>
  </si>
  <si>
    <t>Employee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</si>
</sst>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1"/>
      <color theme="1"/>
      <name val="Calibri"/>
      <family val="2"/>
    </font>
    <font>
      <b/>
      <sz val="11"/>
      <color rgb="FF000000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8"/>
      <color theme="1"/>
      <name val="Calibri Light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Border="1"/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4" fontId="7" fillId="4" borderId="6" xfId="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14" fontId="7" fillId="4" borderId="19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5EC-D84C-4258-BA0B-F5493016B3B0}">
  <dimension ref="A1:BKE37"/>
  <sheetViews>
    <sheetView tabSelected="1" zoomScale="80" zoomScaleNormal="80" workbookViewId="0">
      <selection activeCell="B49" sqref="B49"/>
    </sheetView>
  </sheetViews>
  <sheetFormatPr defaultColWidth="9.109375" defaultRowHeight="14.4" x14ac:dyDescent="0.3"/>
  <cols>
    <col min="1" max="1" width="14.109375" style="2" customWidth="1"/>
    <col min="2" max="2" width="28.6640625" style="2" customWidth="1"/>
    <col min="3" max="3" width="9.109375" style="2"/>
    <col min="4" max="4" width="21.6640625" style="2" customWidth="1"/>
    <col min="5" max="5" width="8.44140625" style="2" customWidth="1"/>
    <col min="6" max="6" width="10.6640625" style="2" customWidth="1"/>
    <col min="7" max="7" width="12.5546875" style="2" customWidth="1"/>
    <col min="8" max="8" width="19.44140625" style="2" customWidth="1"/>
    <col min="9" max="9" width="19.44140625" style="2" bestFit="1" customWidth="1"/>
    <col min="10" max="10" width="19.5546875" style="2" bestFit="1" customWidth="1"/>
    <col min="11" max="11" width="17.88671875" style="2" bestFit="1" customWidth="1"/>
    <col min="12" max="12" width="10.88671875" style="2" bestFit="1" customWidth="1"/>
    <col min="13" max="13" width="14.33203125" style="2" customWidth="1"/>
    <col min="14" max="14" width="20.88671875" style="2" customWidth="1"/>
    <col min="15" max="15" width="9.5546875" style="2" bestFit="1" customWidth="1"/>
    <col min="16" max="16" width="67.109375" style="2" bestFit="1" customWidth="1"/>
    <col min="17" max="16384" width="9.109375" style="2"/>
  </cols>
  <sheetData>
    <row r="1" spans="1:1643" ht="18.600000000000001" thickBot="1" x14ac:dyDescent="0.35">
      <c r="A1" s="53" t="s">
        <v>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1"/>
      <c r="P1" s="50" t="s">
        <v>29</v>
      </c>
    </row>
    <row r="2" spans="1:1643" ht="18" x14ac:dyDescent="0.3">
      <c r="A2" s="49" t="s">
        <v>28</v>
      </c>
      <c r="B2" s="48" t="s">
        <v>27</v>
      </c>
      <c r="C2" s="47" t="s">
        <v>26</v>
      </c>
      <c r="D2" s="47" t="s">
        <v>25</v>
      </c>
      <c r="E2" s="47" t="s">
        <v>24</v>
      </c>
      <c r="F2" s="47" t="s">
        <v>23</v>
      </c>
      <c r="G2" s="47" t="s">
        <v>22</v>
      </c>
      <c r="H2" s="46" t="s">
        <v>21</v>
      </c>
      <c r="I2" s="45"/>
      <c r="J2" s="45"/>
      <c r="K2" s="45"/>
      <c r="L2" s="45"/>
      <c r="M2" s="45"/>
      <c r="N2" s="45"/>
      <c r="O2" s="44"/>
      <c r="P2" s="33"/>
    </row>
    <row r="3" spans="1:1643" ht="22.5" customHeight="1" x14ac:dyDescent="0.3">
      <c r="A3" s="43">
        <v>15030</v>
      </c>
      <c r="B3" s="42" t="s">
        <v>20</v>
      </c>
      <c r="C3" s="36"/>
      <c r="D3" s="36"/>
      <c r="E3" s="36"/>
      <c r="F3" s="36"/>
      <c r="G3" s="36"/>
      <c r="H3" s="41"/>
      <c r="I3" s="40"/>
      <c r="J3" s="40"/>
      <c r="K3" s="40"/>
      <c r="L3" s="40"/>
      <c r="M3" s="40"/>
      <c r="N3" s="40"/>
      <c r="O3" s="39"/>
      <c r="P3" s="33"/>
    </row>
    <row r="4" spans="1:1643" ht="18" x14ac:dyDescent="0.3">
      <c r="A4" s="38"/>
      <c r="B4" s="37"/>
      <c r="C4" s="36"/>
      <c r="D4" s="36"/>
      <c r="E4" s="36"/>
      <c r="F4" s="36"/>
      <c r="G4" s="36"/>
      <c r="H4" s="35">
        <v>50</v>
      </c>
      <c r="I4" s="34">
        <v>5</v>
      </c>
      <c r="J4" s="34">
        <v>5</v>
      </c>
      <c r="K4" s="34">
        <v>10</v>
      </c>
      <c r="L4" s="34">
        <v>10</v>
      </c>
      <c r="M4" s="34">
        <v>10</v>
      </c>
      <c r="N4" s="34">
        <v>10</v>
      </c>
      <c r="O4" s="26">
        <f>SUM(H4:N4)</f>
        <v>100</v>
      </c>
      <c r="P4" s="33"/>
    </row>
    <row r="5" spans="1:1643" s="24" customFormat="1" ht="31.8" thickBot="1" x14ac:dyDescent="0.35">
      <c r="A5" s="32" t="s">
        <v>19</v>
      </c>
      <c r="B5" s="31" t="s">
        <v>18</v>
      </c>
      <c r="C5" s="30"/>
      <c r="D5" s="30"/>
      <c r="E5" s="30"/>
      <c r="F5" s="30"/>
      <c r="G5" s="30"/>
      <c r="H5" s="29" t="s">
        <v>17</v>
      </c>
      <c r="I5" s="28" t="s">
        <v>16</v>
      </c>
      <c r="J5" s="28" t="s">
        <v>15</v>
      </c>
      <c r="K5" s="27" t="s">
        <v>14</v>
      </c>
      <c r="L5" s="27" t="s">
        <v>13</v>
      </c>
      <c r="M5" s="27" t="s">
        <v>12</v>
      </c>
      <c r="N5" s="27" t="s">
        <v>11</v>
      </c>
      <c r="O5" s="26" t="s">
        <v>10</v>
      </c>
      <c r="P5" s="2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</row>
    <row r="6" spans="1:1643" s="20" customFormat="1" ht="15.6" x14ac:dyDescent="0.3">
      <c r="A6" s="13">
        <v>1</v>
      </c>
      <c r="B6" s="12">
        <v>45992</v>
      </c>
      <c r="C6" s="11" t="s">
        <v>5</v>
      </c>
      <c r="D6" s="10" t="s">
        <v>2</v>
      </c>
      <c r="E6" s="10" t="s">
        <v>1</v>
      </c>
      <c r="F6" s="10">
        <v>1000</v>
      </c>
      <c r="G6" s="9">
        <v>605</v>
      </c>
      <c r="H6" s="7">
        <f>G6/F6*50</f>
        <v>30.25</v>
      </c>
      <c r="I6" s="8">
        <v>5</v>
      </c>
      <c r="J6" s="8">
        <v>5</v>
      </c>
      <c r="K6" s="8">
        <v>10</v>
      </c>
      <c r="L6" s="8">
        <v>10</v>
      </c>
      <c r="M6" s="8">
        <v>10</v>
      </c>
      <c r="N6" s="8">
        <v>10</v>
      </c>
      <c r="O6" s="7">
        <f>SUM(H6:N6)</f>
        <v>80.25</v>
      </c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</row>
    <row r="7" spans="1:1643" ht="15.6" x14ac:dyDescent="0.3">
      <c r="A7" s="13">
        <v>2</v>
      </c>
      <c r="B7" s="12">
        <v>45993</v>
      </c>
      <c r="C7" s="11" t="s">
        <v>5</v>
      </c>
      <c r="D7" s="10" t="s">
        <v>2</v>
      </c>
      <c r="E7" s="10" t="s">
        <v>1</v>
      </c>
      <c r="F7" s="10">
        <v>1000</v>
      </c>
      <c r="G7" s="9">
        <v>693</v>
      </c>
      <c r="H7" s="7">
        <f>G7/F7*50</f>
        <v>34.65</v>
      </c>
      <c r="I7" s="8">
        <v>5</v>
      </c>
      <c r="J7" s="8">
        <v>5</v>
      </c>
      <c r="K7" s="8">
        <v>10</v>
      </c>
      <c r="L7" s="8">
        <v>9</v>
      </c>
      <c r="M7" s="8">
        <v>10</v>
      </c>
      <c r="N7" s="8">
        <v>10</v>
      </c>
      <c r="O7" s="7">
        <f>SUM(H7:N7)</f>
        <v>83.65</v>
      </c>
      <c r="P7" s="14"/>
    </row>
    <row r="8" spans="1:1643" s="20" customFormat="1" ht="15.6" x14ac:dyDescent="0.3">
      <c r="A8" s="13">
        <v>3</v>
      </c>
      <c r="B8" s="12">
        <v>45994</v>
      </c>
      <c r="C8" s="11" t="s">
        <v>5</v>
      </c>
      <c r="D8" s="10" t="s">
        <v>2</v>
      </c>
      <c r="E8" s="10" t="s">
        <v>1</v>
      </c>
      <c r="F8" s="10">
        <v>1000</v>
      </c>
      <c r="G8" s="9">
        <v>698</v>
      </c>
      <c r="H8" s="7">
        <f>G8/F8*50</f>
        <v>34.9</v>
      </c>
      <c r="I8" s="8">
        <v>5</v>
      </c>
      <c r="J8" s="8">
        <v>5</v>
      </c>
      <c r="K8" s="8">
        <v>10</v>
      </c>
      <c r="L8" s="8">
        <v>10</v>
      </c>
      <c r="M8" s="8">
        <v>10</v>
      </c>
      <c r="N8" s="8">
        <v>10</v>
      </c>
      <c r="O8" s="7">
        <f>SUM(H8:N8)</f>
        <v>84.9</v>
      </c>
      <c r="P8" s="2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</row>
    <row r="9" spans="1:1643" s="5" customFormat="1" ht="15.6" x14ac:dyDescent="0.3">
      <c r="A9" s="13">
        <v>4</v>
      </c>
      <c r="B9" s="12">
        <v>45995</v>
      </c>
      <c r="C9" s="11" t="s">
        <v>5</v>
      </c>
      <c r="D9" s="10" t="s">
        <v>2</v>
      </c>
      <c r="E9" s="10" t="s">
        <v>1</v>
      </c>
      <c r="F9" s="10">
        <v>1000</v>
      </c>
      <c r="G9" s="9">
        <v>714</v>
      </c>
      <c r="H9" s="7">
        <f>G9/F9*50</f>
        <v>35.699999999999996</v>
      </c>
      <c r="I9" s="8">
        <v>5</v>
      </c>
      <c r="J9" s="8">
        <v>5</v>
      </c>
      <c r="K9" s="8">
        <v>10</v>
      </c>
      <c r="L9" s="8">
        <v>7</v>
      </c>
      <c r="M9" s="8">
        <v>10</v>
      </c>
      <c r="N9" s="8">
        <v>10</v>
      </c>
      <c r="O9" s="7">
        <f>SUM(H9:N9)</f>
        <v>82.699999999999989</v>
      </c>
      <c r="P9" s="14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</row>
    <row r="10" spans="1:1643" s="5" customFormat="1" ht="15.6" x14ac:dyDescent="0.3">
      <c r="A10" s="13">
        <v>5</v>
      </c>
      <c r="B10" s="12">
        <v>45996</v>
      </c>
      <c r="C10" s="11" t="s">
        <v>5</v>
      </c>
      <c r="D10" s="10" t="s">
        <v>2</v>
      </c>
      <c r="E10" s="10" t="s">
        <v>1</v>
      </c>
      <c r="F10" s="10">
        <v>1500</v>
      </c>
      <c r="G10" s="9">
        <v>707</v>
      </c>
      <c r="H10" s="7">
        <f>G10/F10*50</f>
        <v>23.566666666666666</v>
      </c>
      <c r="I10" s="8">
        <v>5</v>
      </c>
      <c r="J10" s="8">
        <v>5</v>
      </c>
      <c r="K10" s="8">
        <v>10</v>
      </c>
      <c r="L10" s="8">
        <v>9</v>
      </c>
      <c r="M10" s="8">
        <v>10</v>
      </c>
      <c r="N10" s="8">
        <v>10</v>
      </c>
      <c r="O10" s="7">
        <f>SUM(H10:N10)</f>
        <v>72.566666666666663</v>
      </c>
      <c r="P10" s="23"/>
    </row>
    <row r="11" spans="1:1643" s="5" customFormat="1" ht="15.6" x14ac:dyDescent="0.3">
      <c r="A11" s="13">
        <v>6</v>
      </c>
      <c r="B11" s="12">
        <v>45997</v>
      </c>
      <c r="C11" s="11" t="s">
        <v>5</v>
      </c>
      <c r="D11" s="10" t="s">
        <v>2</v>
      </c>
      <c r="E11" s="10" t="s">
        <v>1</v>
      </c>
      <c r="F11" s="10">
        <v>1500</v>
      </c>
      <c r="G11" s="9">
        <v>129</v>
      </c>
      <c r="H11" s="7">
        <f>G11/F11*50</f>
        <v>4.3</v>
      </c>
      <c r="I11" s="8">
        <v>5</v>
      </c>
      <c r="J11" s="8">
        <v>5</v>
      </c>
      <c r="K11" s="8">
        <v>10</v>
      </c>
      <c r="L11" s="8">
        <v>9</v>
      </c>
      <c r="M11" s="8">
        <v>10</v>
      </c>
      <c r="N11" s="8">
        <v>10</v>
      </c>
      <c r="O11" s="7">
        <f>SUM(H11:N11)</f>
        <v>53.3</v>
      </c>
      <c r="P11" s="14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</row>
    <row r="12" spans="1:1643" ht="15.6" x14ac:dyDescent="0.3">
      <c r="A12" s="13">
        <v>7</v>
      </c>
      <c r="B12" s="12">
        <v>45998</v>
      </c>
      <c r="C12" s="19" t="s">
        <v>4</v>
      </c>
      <c r="D12" s="4"/>
      <c r="E12" s="4"/>
      <c r="F12" s="4"/>
      <c r="G12" s="18"/>
      <c r="H12" s="1"/>
      <c r="I12" s="17"/>
      <c r="J12" s="17"/>
      <c r="K12" s="17"/>
      <c r="L12" s="17"/>
      <c r="M12" s="17"/>
      <c r="N12" s="17"/>
      <c r="O12" s="1"/>
      <c r="P12" s="16"/>
    </row>
    <row r="13" spans="1:1643" s="5" customFormat="1" ht="15.6" x14ac:dyDescent="0.3">
      <c r="A13" s="13">
        <v>8</v>
      </c>
      <c r="B13" s="12">
        <v>45999</v>
      </c>
      <c r="C13" s="11" t="s">
        <v>3</v>
      </c>
      <c r="D13" s="10" t="s">
        <v>2</v>
      </c>
      <c r="E13" s="10" t="s">
        <v>1</v>
      </c>
      <c r="F13" s="10">
        <v>1000</v>
      </c>
      <c r="G13" s="9">
        <v>693</v>
      </c>
      <c r="H13" s="7">
        <f>G13/F13*50</f>
        <v>34.65</v>
      </c>
      <c r="I13" s="8">
        <v>5</v>
      </c>
      <c r="J13" s="8">
        <v>5</v>
      </c>
      <c r="K13" s="8">
        <v>10</v>
      </c>
      <c r="L13" s="8">
        <v>9</v>
      </c>
      <c r="M13" s="8">
        <v>10</v>
      </c>
      <c r="N13" s="8">
        <v>10</v>
      </c>
      <c r="O13" s="7">
        <f>SUM(H13:N13)</f>
        <v>83.65</v>
      </c>
      <c r="P13" s="14"/>
    </row>
    <row r="14" spans="1:1643" ht="15.6" x14ac:dyDescent="0.3">
      <c r="A14" s="13">
        <v>9</v>
      </c>
      <c r="B14" s="12">
        <v>46000</v>
      </c>
      <c r="C14" s="11" t="s">
        <v>3</v>
      </c>
      <c r="D14" s="10" t="s">
        <v>2</v>
      </c>
      <c r="E14" s="10" t="s">
        <v>1</v>
      </c>
      <c r="F14" s="10">
        <v>1000</v>
      </c>
      <c r="G14" s="9">
        <v>543</v>
      </c>
      <c r="H14" s="7">
        <f>G14/F14*50</f>
        <v>27.150000000000002</v>
      </c>
      <c r="I14" s="8">
        <v>5</v>
      </c>
      <c r="J14" s="8">
        <v>5</v>
      </c>
      <c r="K14" s="8">
        <v>10</v>
      </c>
      <c r="L14" s="8">
        <v>10</v>
      </c>
      <c r="M14" s="8">
        <v>10</v>
      </c>
      <c r="N14" s="8">
        <v>10</v>
      </c>
      <c r="O14" s="7">
        <f>SUM(H14:N14)</f>
        <v>77.150000000000006</v>
      </c>
      <c r="P14" s="14"/>
    </row>
    <row r="15" spans="1:1643" s="5" customFormat="1" ht="15.6" x14ac:dyDescent="0.3">
      <c r="A15" s="13">
        <v>10</v>
      </c>
      <c r="B15" s="12">
        <v>46001</v>
      </c>
      <c r="C15" s="11" t="s">
        <v>3</v>
      </c>
      <c r="D15" s="10" t="s">
        <v>2</v>
      </c>
      <c r="E15" s="10" t="s">
        <v>1</v>
      </c>
      <c r="F15" s="10">
        <v>1000</v>
      </c>
      <c r="G15" s="9">
        <v>608</v>
      </c>
      <c r="H15" s="7">
        <f>G15/F15*50</f>
        <v>30.4</v>
      </c>
      <c r="I15" s="8">
        <v>5</v>
      </c>
      <c r="J15" s="8">
        <v>5</v>
      </c>
      <c r="K15" s="8">
        <v>10</v>
      </c>
      <c r="L15" s="8">
        <v>10</v>
      </c>
      <c r="M15" s="8">
        <v>10</v>
      </c>
      <c r="N15" s="8">
        <v>10</v>
      </c>
      <c r="O15" s="7">
        <f>SUM(H15:N15)</f>
        <v>80.400000000000006</v>
      </c>
      <c r="P15" s="14"/>
    </row>
    <row r="16" spans="1:1643" s="5" customFormat="1" ht="15.6" x14ac:dyDescent="0.3">
      <c r="A16" s="13">
        <v>11</v>
      </c>
      <c r="B16" s="12">
        <v>46002</v>
      </c>
      <c r="C16" s="11" t="s">
        <v>3</v>
      </c>
      <c r="D16" s="10" t="s">
        <v>2</v>
      </c>
      <c r="E16" s="10" t="s">
        <v>1</v>
      </c>
      <c r="F16" s="9">
        <v>579</v>
      </c>
      <c r="G16" s="9">
        <v>579</v>
      </c>
      <c r="H16" s="7">
        <f>G16/F16*50</f>
        <v>50</v>
      </c>
      <c r="I16" s="8">
        <v>5</v>
      </c>
      <c r="J16" s="8">
        <v>5</v>
      </c>
      <c r="K16" s="8">
        <v>10</v>
      </c>
      <c r="L16" s="8">
        <v>9</v>
      </c>
      <c r="M16" s="8">
        <v>10</v>
      </c>
      <c r="N16" s="8">
        <v>10</v>
      </c>
      <c r="O16" s="7">
        <f>SUM(H16:N16)</f>
        <v>99</v>
      </c>
      <c r="P16" s="21" t="s">
        <v>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</row>
    <row r="17" spans="1:1643" ht="15.6" x14ac:dyDescent="0.3">
      <c r="A17" s="13">
        <v>12</v>
      </c>
      <c r="B17" s="12">
        <v>46003</v>
      </c>
      <c r="C17" s="19" t="s">
        <v>4</v>
      </c>
      <c r="D17" s="4"/>
      <c r="E17" s="4"/>
      <c r="F17" s="4"/>
      <c r="G17" s="18"/>
      <c r="H17" s="1"/>
      <c r="I17" s="17"/>
      <c r="J17" s="17"/>
      <c r="K17" s="17"/>
      <c r="L17" s="17"/>
      <c r="M17" s="17"/>
      <c r="N17" s="17"/>
      <c r="O17" s="1"/>
      <c r="P17" s="16"/>
    </row>
    <row r="18" spans="1:1643" s="5" customFormat="1" ht="15.6" x14ac:dyDescent="0.3">
      <c r="A18" s="13">
        <v>13</v>
      </c>
      <c r="B18" s="12">
        <v>46004</v>
      </c>
      <c r="C18" s="11" t="s">
        <v>7</v>
      </c>
      <c r="D18" s="10" t="s">
        <v>2</v>
      </c>
      <c r="E18" s="10" t="s">
        <v>1</v>
      </c>
      <c r="F18" s="10">
        <v>1500</v>
      </c>
      <c r="G18" s="9">
        <v>921</v>
      </c>
      <c r="H18" s="7">
        <f>G18/F18*50</f>
        <v>30.7</v>
      </c>
      <c r="I18" s="8">
        <v>5</v>
      </c>
      <c r="J18" s="8">
        <v>5</v>
      </c>
      <c r="K18" s="8">
        <v>10</v>
      </c>
      <c r="L18" s="8">
        <v>9</v>
      </c>
      <c r="M18" s="8">
        <v>10</v>
      </c>
      <c r="N18" s="8">
        <v>10</v>
      </c>
      <c r="O18" s="7">
        <f>SUM(H18:N18)</f>
        <v>79.7</v>
      </c>
      <c r="P18" s="1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</row>
    <row r="19" spans="1:1643" s="5" customFormat="1" ht="15.6" x14ac:dyDescent="0.3">
      <c r="A19" s="13">
        <v>14</v>
      </c>
      <c r="B19" s="12">
        <v>46005</v>
      </c>
      <c r="C19" s="11" t="s">
        <v>7</v>
      </c>
      <c r="D19" s="10" t="s">
        <v>2</v>
      </c>
      <c r="E19" s="10" t="s">
        <v>1</v>
      </c>
      <c r="F19" s="10">
        <v>1500</v>
      </c>
      <c r="G19" s="9">
        <v>387</v>
      </c>
      <c r="H19" s="7">
        <f>G19/F19*50</f>
        <v>12.9</v>
      </c>
      <c r="I19" s="8">
        <v>5</v>
      </c>
      <c r="J19" s="8">
        <v>5</v>
      </c>
      <c r="K19" s="8">
        <v>10</v>
      </c>
      <c r="L19" s="8">
        <v>9</v>
      </c>
      <c r="M19" s="8">
        <v>10</v>
      </c>
      <c r="N19" s="8">
        <v>10</v>
      </c>
      <c r="O19" s="7">
        <f>SUM(H19:N19)</f>
        <v>61.9</v>
      </c>
      <c r="P19" s="1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</row>
    <row r="20" spans="1:1643" s="5" customFormat="1" ht="15.6" x14ac:dyDescent="0.3">
      <c r="A20" s="13">
        <v>15</v>
      </c>
      <c r="B20" s="12">
        <v>46006</v>
      </c>
      <c r="C20" s="11" t="s">
        <v>7</v>
      </c>
      <c r="D20" s="10" t="s">
        <v>2</v>
      </c>
      <c r="E20" s="10" t="s">
        <v>1</v>
      </c>
      <c r="F20" s="10">
        <v>1000</v>
      </c>
      <c r="G20" s="9">
        <v>599</v>
      </c>
      <c r="H20" s="7">
        <f>G20/F20*50</f>
        <v>29.95</v>
      </c>
      <c r="I20" s="8">
        <v>5</v>
      </c>
      <c r="J20" s="8">
        <v>5</v>
      </c>
      <c r="K20" s="8">
        <v>10</v>
      </c>
      <c r="L20" s="8">
        <v>8</v>
      </c>
      <c r="M20" s="8">
        <v>10</v>
      </c>
      <c r="N20" s="8">
        <v>10</v>
      </c>
      <c r="O20" s="7">
        <f>SUM(H20:N20)</f>
        <v>77.95</v>
      </c>
      <c r="P20" s="1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</row>
    <row r="21" spans="1:1643" s="5" customFormat="1" ht="15.6" x14ac:dyDescent="0.3">
      <c r="A21" s="13">
        <v>16</v>
      </c>
      <c r="B21" s="12">
        <v>46007</v>
      </c>
      <c r="C21" s="11" t="s">
        <v>7</v>
      </c>
      <c r="D21" s="10" t="s">
        <v>2</v>
      </c>
      <c r="E21" s="10" t="s">
        <v>1</v>
      </c>
      <c r="F21" s="9">
        <v>513</v>
      </c>
      <c r="G21" s="9">
        <v>513</v>
      </c>
      <c r="H21" s="7">
        <f>G21/F21*50</f>
        <v>50</v>
      </c>
      <c r="I21" s="8">
        <v>5</v>
      </c>
      <c r="J21" s="8">
        <v>5</v>
      </c>
      <c r="K21" s="8">
        <v>10</v>
      </c>
      <c r="L21" s="8">
        <v>8</v>
      </c>
      <c r="M21" s="8">
        <v>10</v>
      </c>
      <c r="N21" s="8">
        <v>10</v>
      </c>
      <c r="O21" s="7">
        <f>SUM(H21:N21)</f>
        <v>98</v>
      </c>
      <c r="P21" s="21" t="s">
        <v>8</v>
      </c>
    </row>
    <row r="22" spans="1:1643" s="5" customFormat="1" ht="15.6" x14ac:dyDescent="0.3">
      <c r="A22" s="13">
        <v>17</v>
      </c>
      <c r="B22" s="12">
        <v>46008</v>
      </c>
      <c r="C22" s="11" t="s">
        <v>7</v>
      </c>
      <c r="D22" s="10" t="s">
        <v>2</v>
      </c>
      <c r="E22" s="10" t="s">
        <v>1</v>
      </c>
      <c r="F22" s="10">
        <v>1000</v>
      </c>
      <c r="G22" s="9">
        <v>682</v>
      </c>
      <c r="H22" s="7">
        <f>G22/F22*50</f>
        <v>34.1</v>
      </c>
      <c r="I22" s="8">
        <v>5</v>
      </c>
      <c r="J22" s="8">
        <v>5</v>
      </c>
      <c r="K22" s="8">
        <v>10</v>
      </c>
      <c r="L22" s="8">
        <v>10</v>
      </c>
      <c r="M22" s="8">
        <v>10</v>
      </c>
      <c r="N22" s="8">
        <v>10</v>
      </c>
      <c r="O22" s="7">
        <f>SUM(H22:N22)</f>
        <v>84.1</v>
      </c>
      <c r="P22" s="2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</row>
    <row r="23" spans="1:1643" s="5" customFormat="1" ht="15.6" x14ac:dyDescent="0.3">
      <c r="A23" s="13">
        <v>18</v>
      </c>
      <c r="B23" s="12">
        <v>46009</v>
      </c>
      <c r="C23" s="11" t="s">
        <v>7</v>
      </c>
      <c r="D23" s="10" t="s">
        <v>2</v>
      </c>
      <c r="E23" s="10" t="s">
        <v>1</v>
      </c>
      <c r="F23" s="10">
        <v>1000</v>
      </c>
      <c r="G23" s="9">
        <v>765</v>
      </c>
      <c r="H23" s="7">
        <f>G23/F23*50</f>
        <v>38.25</v>
      </c>
      <c r="I23" s="8">
        <v>5</v>
      </c>
      <c r="J23" s="8">
        <v>5</v>
      </c>
      <c r="K23" s="8">
        <v>10</v>
      </c>
      <c r="L23" s="8">
        <v>10</v>
      </c>
      <c r="M23" s="8">
        <v>10</v>
      </c>
      <c r="N23" s="8">
        <v>10</v>
      </c>
      <c r="O23" s="7">
        <f>SUM(H23:N23)</f>
        <v>88.25</v>
      </c>
      <c r="P23" s="14"/>
    </row>
    <row r="24" spans="1:1643" s="5" customFormat="1" ht="15.6" x14ac:dyDescent="0.3">
      <c r="A24" s="13">
        <v>19</v>
      </c>
      <c r="B24" s="12">
        <v>46010</v>
      </c>
      <c r="C24" s="11" t="s">
        <v>7</v>
      </c>
      <c r="D24" s="10" t="s">
        <v>2</v>
      </c>
      <c r="E24" s="10" t="s">
        <v>1</v>
      </c>
      <c r="F24" s="9">
        <v>1085</v>
      </c>
      <c r="G24" s="9">
        <v>1085</v>
      </c>
      <c r="H24" s="7">
        <f>G24/F24*50</f>
        <v>50</v>
      </c>
      <c r="I24" s="8">
        <v>5</v>
      </c>
      <c r="J24" s="8">
        <v>5</v>
      </c>
      <c r="K24" s="8">
        <v>10</v>
      </c>
      <c r="L24" s="8">
        <v>9</v>
      </c>
      <c r="M24" s="8">
        <v>10</v>
      </c>
      <c r="N24" s="8">
        <v>10</v>
      </c>
      <c r="O24" s="7">
        <f>SUM(H24:N24)</f>
        <v>99</v>
      </c>
      <c r="P24" s="21" t="s">
        <v>6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</row>
    <row r="25" spans="1:1643" s="5" customFormat="1" ht="15.6" x14ac:dyDescent="0.3">
      <c r="A25" s="13">
        <v>20</v>
      </c>
      <c r="B25" s="12">
        <v>46011</v>
      </c>
      <c r="C25" s="19" t="s">
        <v>4</v>
      </c>
      <c r="D25" s="4"/>
      <c r="E25" s="4"/>
      <c r="F25" s="4"/>
      <c r="G25" s="18"/>
      <c r="H25" s="1"/>
      <c r="I25" s="17"/>
      <c r="J25" s="17"/>
      <c r="K25" s="17"/>
      <c r="L25" s="17"/>
      <c r="M25" s="17"/>
      <c r="N25" s="17"/>
      <c r="O25" s="1"/>
      <c r="P25" s="16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</row>
    <row r="26" spans="1:1643" s="5" customFormat="1" ht="15.6" x14ac:dyDescent="0.3">
      <c r="A26" s="13">
        <v>21</v>
      </c>
      <c r="B26" s="12">
        <v>46012</v>
      </c>
      <c r="C26" s="11" t="s">
        <v>5</v>
      </c>
      <c r="D26" s="10" t="s">
        <v>2</v>
      </c>
      <c r="E26" s="10" t="s">
        <v>1</v>
      </c>
      <c r="F26" s="10">
        <v>1500</v>
      </c>
      <c r="G26" s="9">
        <v>882</v>
      </c>
      <c r="H26" s="7">
        <f>G26/F26*50</f>
        <v>29.4</v>
      </c>
      <c r="I26" s="8">
        <v>5</v>
      </c>
      <c r="J26" s="8">
        <v>5</v>
      </c>
      <c r="K26" s="8">
        <v>10</v>
      </c>
      <c r="L26" s="8">
        <v>9</v>
      </c>
      <c r="M26" s="8">
        <v>10</v>
      </c>
      <c r="N26" s="8">
        <v>10</v>
      </c>
      <c r="O26" s="7">
        <f>SUM(H26:N26)</f>
        <v>78.400000000000006</v>
      </c>
      <c r="P26" s="15"/>
    </row>
    <row r="27" spans="1:1643" ht="15.6" x14ac:dyDescent="0.3">
      <c r="A27" s="13">
        <v>22</v>
      </c>
      <c r="B27" s="12">
        <v>46013</v>
      </c>
      <c r="C27" s="11" t="s">
        <v>5</v>
      </c>
      <c r="D27" s="10" t="s">
        <v>2</v>
      </c>
      <c r="E27" s="10" t="s">
        <v>1</v>
      </c>
      <c r="F27" s="10">
        <v>1000</v>
      </c>
      <c r="G27" s="9">
        <v>0</v>
      </c>
      <c r="H27" s="7">
        <f>G27/F27*50</f>
        <v>0</v>
      </c>
      <c r="I27" s="8">
        <v>5</v>
      </c>
      <c r="J27" s="8">
        <v>5</v>
      </c>
      <c r="K27" s="8">
        <v>10</v>
      </c>
      <c r="L27" s="8">
        <v>10</v>
      </c>
      <c r="M27" s="8">
        <v>10</v>
      </c>
      <c r="N27" s="8">
        <v>10</v>
      </c>
      <c r="O27" s="7">
        <f>SUM(H27:N27)</f>
        <v>50</v>
      </c>
      <c r="P27" s="14"/>
    </row>
    <row r="28" spans="1:1643" ht="15.6" x14ac:dyDescent="0.3">
      <c r="A28" s="13">
        <v>23</v>
      </c>
      <c r="B28" s="12">
        <v>46014</v>
      </c>
      <c r="C28" s="11" t="s">
        <v>5</v>
      </c>
      <c r="D28" s="10" t="s">
        <v>2</v>
      </c>
      <c r="E28" s="10" t="s">
        <v>1</v>
      </c>
      <c r="F28" s="10">
        <v>1000</v>
      </c>
      <c r="G28" s="9">
        <v>510</v>
      </c>
      <c r="H28" s="7">
        <f>G28/F28*50</f>
        <v>25.5</v>
      </c>
      <c r="I28" s="8">
        <v>5</v>
      </c>
      <c r="J28" s="8">
        <v>5</v>
      </c>
      <c r="K28" s="8">
        <v>10</v>
      </c>
      <c r="L28" s="8">
        <v>10</v>
      </c>
      <c r="M28" s="8">
        <v>10</v>
      </c>
      <c r="N28" s="8">
        <v>10</v>
      </c>
      <c r="O28" s="7">
        <f>SUM(H28:N28)</f>
        <v>75.5</v>
      </c>
      <c r="P28" s="14"/>
    </row>
    <row r="29" spans="1:1643" s="20" customFormat="1" ht="15.6" x14ac:dyDescent="0.3">
      <c r="A29" s="13">
        <v>24</v>
      </c>
      <c r="B29" s="12">
        <v>46015</v>
      </c>
      <c r="C29" s="11" t="s">
        <v>5</v>
      </c>
      <c r="D29" s="10" t="s">
        <v>2</v>
      </c>
      <c r="E29" s="10" t="s">
        <v>1</v>
      </c>
      <c r="F29" s="10">
        <v>1000</v>
      </c>
      <c r="G29" s="9">
        <v>650</v>
      </c>
      <c r="H29" s="7">
        <f>G29/F29*50</f>
        <v>32.5</v>
      </c>
      <c r="I29" s="8">
        <v>5</v>
      </c>
      <c r="J29" s="8">
        <v>5</v>
      </c>
      <c r="K29" s="8">
        <v>10</v>
      </c>
      <c r="L29" s="8">
        <v>9</v>
      </c>
      <c r="M29" s="8">
        <v>10</v>
      </c>
      <c r="N29" s="8">
        <v>10</v>
      </c>
      <c r="O29" s="7">
        <f>SUM(H29:N29)</f>
        <v>81.5</v>
      </c>
      <c r="P29" s="14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</row>
    <row r="30" spans="1:1643" s="5" customFormat="1" ht="15.6" x14ac:dyDescent="0.3">
      <c r="A30" s="13">
        <v>25</v>
      </c>
      <c r="B30" s="12">
        <v>46016</v>
      </c>
      <c r="C30" s="11" t="s">
        <v>5</v>
      </c>
      <c r="D30" s="10" t="s">
        <v>2</v>
      </c>
      <c r="E30" s="10" t="s">
        <v>1</v>
      </c>
      <c r="F30" s="10">
        <v>1000</v>
      </c>
      <c r="G30" s="9">
        <v>743</v>
      </c>
      <c r="H30" s="7">
        <f>G30/F30*50</f>
        <v>37.15</v>
      </c>
      <c r="I30" s="8">
        <v>5</v>
      </c>
      <c r="J30" s="8">
        <v>5</v>
      </c>
      <c r="K30" s="8">
        <v>10</v>
      </c>
      <c r="L30" s="8">
        <v>10</v>
      </c>
      <c r="M30" s="8">
        <v>10</v>
      </c>
      <c r="N30" s="8">
        <v>10</v>
      </c>
      <c r="O30" s="7">
        <f>SUM(H30:N30)</f>
        <v>87.15</v>
      </c>
      <c r="P30" s="1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</row>
    <row r="31" spans="1:1643" s="5" customFormat="1" ht="15.6" x14ac:dyDescent="0.3">
      <c r="A31" s="13">
        <v>26</v>
      </c>
      <c r="B31" s="12">
        <v>46017</v>
      </c>
      <c r="C31" s="11" t="s">
        <v>5</v>
      </c>
      <c r="D31" s="10" t="s">
        <v>2</v>
      </c>
      <c r="E31" s="10" t="s">
        <v>1</v>
      </c>
      <c r="F31" s="10">
        <v>1500</v>
      </c>
      <c r="G31" s="9">
        <v>1041</v>
      </c>
      <c r="H31" s="7">
        <f>G31/F31*50</f>
        <v>34.699999999999996</v>
      </c>
      <c r="I31" s="8">
        <v>5</v>
      </c>
      <c r="J31" s="8">
        <v>5</v>
      </c>
      <c r="K31" s="8">
        <v>10</v>
      </c>
      <c r="L31" s="8">
        <v>8</v>
      </c>
      <c r="M31" s="8">
        <v>10</v>
      </c>
      <c r="N31" s="8">
        <v>10</v>
      </c>
      <c r="O31" s="7">
        <f>SUM(H31:N31)</f>
        <v>82.699999999999989</v>
      </c>
      <c r="P31" s="14"/>
    </row>
    <row r="32" spans="1:1643" s="5" customFormat="1" ht="15.6" x14ac:dyDescent="0.3">
      <c r="A32" s="13">
        <v>27</v>
      </c>
      <c r="B32" s="12">
        <v>46018</v>
      </c>
      <c r="C32" s="11" t="s">
        <v>5</v>
      </c>
      <c r="D32" s="10" t="s">
        <v>2</v>
      </c>
      <c r="E32" s="10" t="s">
        <v>1</v>
      </c>
      <c r="F32" s="10">
        <v>1500</v>
      </c>
      <c r="G32" s="9">
        <v>335</v>
      </c>
      <c r="H32" s="7">
        <f>G32/F32*50</f>
        <v>11.166666666666666</v>
      </c>
      <c r="I32" s="8">
        <v>5</v>
      </c>
      <c r="J32" s="8">
        <v>5</v>
      </c>
      <c r="K32" s="8">
        <v>10</v>
      </c>
      <c r="L32" s="8">
        <v>9</v>
      </c>
      <c r="M32" s="8">
        <v>10</v>
      </c>
      <c r="N32" s="8">
        <v>10</v>
      </c>
      <c r="O32" s="7">
        <f>SUM(H32:N32)</f>
        <v>60.166666666666664</v>
      </c>
      <c r="P32" s="14"/>
    </row>
    <row r="33" spans="1:16" s="5" customFormat="1" ht="15.6" x14ac:dyDescent="0.3">
      <c r="A33" s="13">
        <v>28</v>
      </c>
      <c r="B33" s="12">
        <v>46019</v>
      </c>
      <c r="C33" s="19" t="s">
        <v>4</v>
      </c>
      <c r="D33" s="4"/>
      <c r="E33" s="4"/>
      <c r="F33" s="4"/>
      <c r="G33" s="18"/>
      <c r="H33" s="1"/>
      <c r="I33" s="17"/>
      <c r="J33" s="17"/>
      <c r="K33" s="17"/>
      <c r="L33" s="17"/>
      <c r="M33" s="17"/>
      <c r="N33" s="17"/>
      <c r="O33" s="1"/>
      <c r="P33" s="16"/>
    </row>
    <row r="34" spans="1:16" s="5" customFormat="1" ht="15.6" x14ac:dyDescent="0.3">
      <c r="A34" s="13">
        <v>29</v>
      </c>
      <c r="B34" s="12">
        <v>46020</v>
      </c>
      <c r="C34" s="11" t="s">
        <v>3</v>
      </c>
      <c r="D34" s="10" t="s">
        <v>2</v>
      </c>
      <c r="E34" s="10" t="s">
        <v>1</v>
      </c>
      <c r="F34" s="10">
        <v>1000</v>
      </c>
      <c r="G34" s="9">
        <v>441</v>
      </c>
      <c r="H34" s="7">
        <f>G34/F34*50</f>
        <v>22.05</v>
      </c>
      <c r="I34" s="8">
        <v>5</v>
      </c>
      <c r="J34" s="8">
        <v>5</v>
      </c>
      <c r="K34" s="8">
        <v>10</v>
      </c>
      <c r="L34" s="8">
        <v>9</v>
      </c>
      <c r="M34" s="8">
        <v>10</v>
      </c>
      <c r="N34" s="8">
        <v>10</v>
      </c>
      <c r="O34" s="7">
        <f>SUM(H34:N34)</f>
        <v>71.05</v>
      </c>
      <c r="P34" s="15"/>
    </row>
    <row r="35" spans="1:16" s="5" customFormat="1" ht="15.6" x14ac:dyDescent="0.3">
      <c r="A35" s="13">
        <v>30</v>
      </c>
      <c r="B35" s="12">
        <v>46021</v>
      </c>
      <c r="C35" s="11" t="s">
        <v>3</v>
      </c>
      <c r="D35" s="10" t="s">
        <v>2</v>
      </c>
      <c r="E35" s="10" t="s">
        <v>1</v>
      </c>
      <c r="F35" s="10">
        <v>1000</v>
      </c>
      <c r="G35" s="9">
        <v>478</v>
      </c>
      <c r="H35" s="7">
        <f>G35/F35*50</f>
        <v>23.9</v>
      </c>
      <c r="I35" s="8">
        <v>5</v>
      </c>
      <c r="J35" s="8">
        <v>5</v>
      </c>
      <c r="K35" s="8">
        <v>10</v>
      </c>
      <c r="L35" s="8">
        <v>10</v>
      </c>
      <c r="M35" s="8">
        <v>10</v>
      </c>
      <c r="N35" s="8">
        <v>10</v>
      </c>
      <c r="O35" s="7">
        <f>SUM(H35:N35)</f>
        <v>73.900000000000006</v>
      </c>
      <c r="P35" s="14"/>
    </row>
    <row r="36" spans="1:16" s="5" customFormat="1" ht="15.6" x14ac:dyDescent="0.3">
      <c r="A36" s="13">
        <v>31</v>
      </c>
      <c r="B36" s="12">
        <v>46022</v>
      </c>
      <c r="C36" s="11" t="s">
        <v>3</v>
      </c>
      <c r="D36" s="10" t="s">
        <v>2</v>
      </c>
      <c r="E36" s="10" t="s">
        <v>1</v>
      </c>
      <c r="F36" s="10">
        <v>1000</v>
      </c>
      <c r="G36" s="9">
        <v>510</v>
      </c>
      <c r="H36" s="7">
        <f>G36/F36*50</f>
        <v>25.5</v>
      </c>
      <c r="I36" s="8">
        <v>5</v>
      </c>
      <c r="J36" s="8">
        <v>5</v>
      </c>
      <c r="K36" s="8">
        <v>10</v>
      </c>
      <c r="L36" s="8">
        <v>10</v>
      </c>
      <c r="M36" s="8">
        <v>10</v>
      </c>
      <c r="N36" s="8">
        <v>10</v>
      </c>
      <c r="O36" s="7">
        <f>SUM(H36:N36)</f>
        <v>75.5</v>
      </c>
      <c r="P36" s="6"/>
    </row>
    <row r="37" spans="1:16" ht="15.6" x14ac:dyDescent="0.3">
      <c r="G37" s="4" t="s">
        <v>0</v>
      </c>
      <c r="H37" s="1">
        <f>AVERAGE(H6:H35)</f>
        <v>29.532051282051277</v>
      </c>
      <c r="I37" s="1">
        <f>AVERAGE(I6:I35)</f>
        <v>5</v>
      </c>
      <c r="J37" s="1">
        <f>AVERAGE(J6:J35)</f>
        <v>5</v>
      </c>
      <c r="K37" s="1">
        <f>AVERAGE(K6:K35)</f>
        <v>10</v>
      </c>
      <c r="L37" s="1">
        <f>AVERAGE(L6:L35)</f>
        <v>9.1923076923076916</v>
      </c>
      <c r="M37" s="1">
        <f>AVERAGE(M6:M35)</f>
        <v>10</v>
      </c>
      <c r="N37" s="1">
        <f>AVERAGE(N6:N35)</f>
        <v>10</v>
      </c>
      <c r="O37" s="1">
        <f>SUM(H37:N37)</f>
        <v>78.724358974358978</v>
      </c>
      <c r="P37" s="3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15030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Komuktheswaran K E</dc:creator>
  <cp:lastModifiedBy>Komuktheswaran K E</cp:lastModifiedBy>
  <dcterms:created xsi:type="dcterms:W3CDTF">2026-01-23T10:59:01Z</dcterms:created>
  <dcterms:modified xsi:type="dcterms:W3CDTF">2026-01-23T11:00:19Z</dcterms:modified>
</cp:coreProperties>
</file>